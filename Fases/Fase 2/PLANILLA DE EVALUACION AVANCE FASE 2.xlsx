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Fase 2\Seccion-004\Grupo 6 AlertaVital\Evidencias grupales\"/>
    </mc:Choice>
  </mc:AlternateContent>
  <xr:revisionPtr revIDLastSave="0" documentId="13_ncr:1_{63AC1060-5B2F-4125-8DFC-2A02D86709F5}" xr6:coauthVersionLast="47" xr6:coauthVersionMax="47" xr10:uidLastSave="{00000000-0000-0000-0000-000000000000}"/>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E15" i="1"/>
  <c r="D16" i="1"/>
  <c r="E16" i="1" s="1"/>
  <c r="E17" i="1"/>
  <c r="D18" i="1"/>
  <c r="E18" i="1" s="1"/>
  <c r="E19" i="1"/>
  <c r="F20" i="1"/>
  <c r="G20" i="1" s="1"/>
  <c r="G17" i="1" l="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<sst xmlns="http://schemas.openxmlformats.org/spreadsheetml/2006/main" count="87" uniqueCount="67">
  <si>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</si>
  <si>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</si>
  <si>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</si>
  <si>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</si>
  <si>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</si>
  <si>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</si>
  <si>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</si>
  <si>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</si>
  <si>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</si>
  <si>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</si>
  <si>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</si>
  <si>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</si>
  <si>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</si>
  <si>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</si>
  <si>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</si>
  <si>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</si>
  <si>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</si>
  <si>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</si>
  <si>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</si>
  <si>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</si>
  <si>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</si>
  <si>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</si>
  <si>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</si>
  <si>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</si>
  <si>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</si>
  <si>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</si>
  <si>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</si>
  <si>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</si>
  <si>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</si>
  <si>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</si>
  <si>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</si>
  <si>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</si>
  <si>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</si>
  <si>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</si>
  <si>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</si>
  <si>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</si>
  <si>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</si>
  <si>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</si>
  <si>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</si>
  <si>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</si>
  <si>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</si>
  <si>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</si>
  <si>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</si>
  <si>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</si>
  <si>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</si>
  <si>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</si>
  <si>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</si>
  <si>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</si>
  <si>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</si>
  <si>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</si>
  <si>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</si>
  <si>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</si>
  <si>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</si>
  <si>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</si>
  <si>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</si>
  <si>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</si>
  <si>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</si>
  <si>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</si>
  <si>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</si>
  <si>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</si>
  <si>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</si>
  <si>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</si>
  <si>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</si>
  <si>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</si>
  <si>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Ismael Tapia</t>
  </si>
  <si>
    <t>Dante Vargas</t>
  </si>
  <si>
    <t xml:space="preserve">Daniel Jofre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</si>
</sst>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4" sqref="B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66</v>
      </c>
      <c r="C4" s="5">
        <f>EVALUACION2!$C$22</f>
        <v>6.4</v>
      </c>
      <c r="G4" s="1"/>
    </row>
    <row r="5" spans="1:11" ht="14.4" x14ac:dyDescent="0.3">
      <c r="A5" s="4">
        <v>2</v>
      </c>
      <c r="B5" s="25" t="s">
        <v>64</v>
      </c>
      <c r="C5" s="5">
        <f>EVALUACION2!$C$22</f>
        <v>6.4</v>
      </c>
      <c r="G5" s="1"/>
    </row>
    <row r="6" spans="1:11" ht="14.4" x14ac:dyDescent="0.3">
      <c r="A6" s="4">
        <v>3</v>
      </c>
      <c r="B6" s="25" t="s">
        <v>65</v>
      </c>
      <c r="C6" s="5">
        <f>EVALUACION2!$C$22</f>
        <v>6.4</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6" si="0">IF($C13=CL,"X","")</f>
        <v>X</v>
      </c>
      <c r="E13" s="15">
        <f>IF(D13="X",100*0.1,"")</f>
        <v>10</v>
      </c>
      <c r="F13" s="15" t="str">
        <f t="shared" ref="F13:F16"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t="str">
        <f t="shared" si="2"/>
        <v/>
      </c>
      <c r="I15" s="15" t="str">
        <f>IF(H15="X",30*0.25,"")</f>
        <v/>
      </c>
      <c r="J15" s="15" t="str">
        <f t="shared" si="3"/>
        <v/>
      </c>
      <c r="K15" s="15" t="str">
        <f t="shared" si="4"/>
        <v/>
      </c>
    </row>
    <row r="16" spans="1:11" ht="24" outlineLevel="1" x14ac:dyDescent="0.3">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c r="E17" s="15" t="str">
        <f>IF(D17="X",100*0.05,"")</f>
        <v/>
      </c>
      <c r="F17" s="15" t="s">
        <v>63</v>
      </c>
      <c r="G17" s="15">
        <f>IF(F17="X",60*0.05,"")</f>
        <v>3</v>
      </c>
      <c r="H17" s="15" t="str">
        <f t="shared" si="2"/>
        <v/>
      </c>
      <c r="I17" s="15" t="str">
        <f>IF(H17="X",30*0.05,"")</f>
        <v/>
      </c>
      <c r="J17" s="15" t="str">
        <f t="shared" si="3"/>
        <v/>
      </c>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92</v>
      </c>
      <c r="D21" s="16"/>
      <c r="E21" s="16">
        <f>SUM(E13:E20)</f>
        <v>80</v>
      </c>
      <c r="F21" s="16"/>
      <c r="G21" s="16">
        <f>SUM(G13:G20)</f>
        <v>12</v>
      </c>
      <c r="H21" s="16"/>
      <c r="I21" s="16">
        <f>SUM(I13:I20)</f>
        <v>0</v>
      </c>
      <c r="J21" s="16"/>
      <c r="K21" s="16">
        <f>SUM(K13:K20)</f>
        <v>0</v>
      </c>
    </row>
    <row r="22" spans="1:11" ht="15.75" customHeight="1" outlineLevel="1" x14ac:dyDescent="0.35">
      <c r="A22" s="43"/>
      <c r="B22" s="30" t="s">
        <v>13</v>
      </c>
      <c r="C22" s="17">
        <f>VLOOKUP(C21,ESCALA_IEP!A2:B202,2,FALSE)</f>
        <v>6.4</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2025-10-28T14:44:52Z</dcterms:modified>
</cp:coreProperties>
</file>